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<sst xmlns="http://schemas.openxmlformats.org/spreadsheetml/2006/main" count="44" uniqueCount="39">
  <si>
    <t>Item</t>
  </si>
  <si>
    <t>Category</t>
  </si>
  <si>
    <t>Quantity</t>
  </si>
  <si>
    <t>Price</t>
  </si>
  <si>
    <t>Total</t>
  </si>
  <si>
    <t>Status</t>
  </si>
  <si>
    <t>Cookies</t>
  </si>
  <si>
    <t>Bakery</t>
  </si>
  <si>
    <t>Apples</t>
  </si>
  <si>
    <t>Fruit</t>
  </si>
  <si>
    <t>Milk</t>
  </si>
  <si>
    <t>Dairy</t>
  </si>
  <si>
    <t>Bananas</t>
  </si>
  <si>
    <t>Cheese</t>
  </si>
  <si>
    <t>Bread</t>
  </si>
  <si>
    <t>Tomatoes</t>
  </si>
  <si>
    <t>Vegetable</t>
  </si>
  <si>
    <t>Carrots</t>
  </si>
  <si>
    <t>Total Revenue</t>
  </si>
  <si>
    <t>Summary:</t>
  </si>
  <si>
    <t>Fruit Total</t>
  </si>
  <si>
    <t>1. The category earns most is Bakery (39)</t>
  </si>
  <si>
    <t>Vegetable Total</t>
  </si>
  <si>
    <t>2. The category earns least is Vegetable (28)</t>
  </si>
  <si>
    <t>Dairy Total</t>
  </si>
  <si>
    <t>3. Bakery is the highest because:</t>
  </si>
  <si>
    <t>Bakery Total</t>
  </si>
  <si>
    <t>- Cookies have the highest individual total of 21</t>
  </si>
  <si>
    <t xml:space="preserve">- Bread also contributes the individual total of  18 </t>
  </si>
  <si>
    <t>- Both items together push Bakery slightly above Fruit and Dairy</t>
  </si>
  <si>
    <t xml:space="preserve">    Vegetable is the lowest because:</t>
  </si>
  <si>
    <t>-Carrots have low price of 1</t>
  </si>
  <si>
    <t>-Even with the high quantity of 12, total stays low of 12</t>
  </si>
  <si>
    <t>This shows price impacts revenue strongly.</t>
  </si>
  <si>
    <t>4. If I were the store manager, I would:</t>
  </si>
  <si>
    <t>- Increase price slightly on demand vegetable items</t>
  </si>
  <si>
    <t>- Promote vegetables to increase quantity sold</t>
  </si>
  <si>
    <t>- Add more high margin bakery products since bakery performs well</t>
  </si>
  <si>
    <t>- Analyze why vegetables generate lower 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</si>
</sst>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€]#,##0.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color theme="1"/>
      <name val="Roboto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1" fillId="0" fontId="3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1" fillId="0" fontId="3" numFmtId="0" xfId="0" applyAlignment="1" applyBorder="1" applyFont="1">
      <alignment horizontal="right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by Item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Sheet1!$A$2:$A$9</c:f>
            </c:strRef>
          </c:cat>
          <c:val>
            <c:numRef>
              <c:f>Sheet1!$E$2:$E$9</c:f>
              <c:numCache/>
            </c:numRef>
          </c:val>
        </c:ser>
        <c:axId val="899896590"/>
        <c:axId val="856360316"/>
      </c:barChart>
      <c:catAx>
        <c:axId val="8998965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Item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6360316"/>
      </c:catAx>
      <c:valAx>
        <c:axId val="8563603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98965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Sheet1!$B$11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Sheet1!$A$12:$A$15</c:f>
            </c:strRef>
          </c:cat>
          <c:val>
            <c:numRef>
              <c:f>Sheet1!$B$12:$B$15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0</xdr:row>
      <xdr:rowOff>0</xdr:rowOff>
    </xdr:from>
    <xdr:ext cx="3971925" cy="22764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219075</xdr:colOff>
      <xdr:row>0</xdr:row>
      <xdr:rowOff>0</xdr:rowOff>
    </xdr:from>
    <xdr:ext cx="4019550" cy="22764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9" displayName="Table1" name="Table1" id="1">
  <tableColumns count="6">
    <tableColumn name="Item" id="1"/>
    <tableColumn name="Category" id="2"/>
    <tableColumn name="Quantity" id="3"/>
    <tableColumn name="Price" id="4"/>
    <tableColumn name="Total" id="5"/>
    <tableColumn name="Status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11.5"/>
    <col customWidth="1" min="3" max="3" width="11.25"/>
    <col customWidth="1" min="4" max="4" width="8.25"/>
    <col customWidth="1" min="5" max="5" width="8.38"/>
    <col customWidth="1" min="6" max="6" width="9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 t="s">
        <v>7</v>
      </c>
      <c r="C2" s="2">
        <v>7.0</v>
      </c>
      <c r="D2" s="4">
        <v>3.0</v>
      </c>
      <c r="E2" s="5">
        <f t="shared" ref="E2:E9" si="1">D2*C2</f>
        <v>21</v>
      </c>
      <c r="F2" s="6" t="str">
        <f t="shared" ref="F2:F9" si="2">IF(E2&gt;15,"High","Low")</f>
        <v>High</v>
      </c>
    </row>
    <row r="3" ht="22.5" customHeight="1">
      <c r="A3" s="2" t="s">
        <v>8</v>
      </c>
      <c r="B3" s="3" t="s">
        <v>9</v>
      </c>
      <c r="C3" s="2">
        <v>10.0</v>
      </c>
      <c r="D3" s="4">
        <v>2.0</v>
      </c>
      <c r="E3" s="5">
        <f t="shared" si="1"/>
        <v>20</v>
      </c>
      <c r="F3" s="6" t="str">
        <f t="shared" si="2"/>
        <v>High</v>
      </c>
    </row>
    <row r="4" ht="22.5" customHeight="1">
      <c r="A4" s="2" t="s">
        <v>10</v>
      </c>
      <c r="B4" s="3" t="s">
        <v>11</v>
      </c>
      <c r="C4" s="2">
        <v>5.0</v>
      </c>
      <c r="D4" s="4">
        <v>4.0</v>
      </c>
      <c r="E4" s="5">
        <f t="shared" si="1"/>
        <v>20</v>
      </c>
      <c r="F4" s="6" t="str">
        <f t="shared" si="2"/>
        <v>High</v>
      </c>
    </row>
    <row r="5" ht="22.5" customHeight="1">
      <c r="A5" s="2" t="s">
        <v>12</v>
      </c>
      <c r="B5" s="3" t="s">
        <v>9</v>
      </c>
      <c r="C5" s="2">
        <v>6.0</v>
      </c>
      <c r="D5" s="4">
        <v>3.0</v>
      </c>
      <c r="E5" s="5">
        <f t="shared" si="1"/>
        <v>18</v>
      </c>
      <c r="F5" s="6" t="str">
        <f t="shared" si="2"/>
        <v>High</v>
      </c>
    </row>
    <row r="6" ht="22.5" customHeight="1">
      <c r="A6" s="2" t="s">
        <v>13</v>
      </c>
      <c r="B6" s="3" t="s">
        <v>11</v>
      </c>
      <c r="C6" s="2">
        <v>3.0</v>
      </c>
      <c r="D6" s="4">
        <v>6.0</v>
      </c>
      <c r="E6" s="5">
        <f t="shared" si="1"/>
        <v>18</v>
      </c>
      <c r="F6" s="6" t="str">
        <f t="shared" si="2"/>
        <v>High</v>
      </c>
    </row>
    <row r="7" ht="22.5" customHeight="1">
      <c r="A7" s="2" t="s">
        <v>14</v>
      </c>
      <c r="B7" s="3" t="s">
        <v>7</v>
      </c>
      <c r="C7" s="2">
        <v>9.0</v>
      </c>
      <c r="D7" s="4">
        <v>2.0</v>
      </c>
      <c r="E7" s="5">
        <f t="shared" si="1"/>
        <v>18</v>
      </c>
      <c r="F7" s="6" t="str">
        <f t="shared" si="2"/>
        <v>High</v>
      </c>
    </row>
    <row r="8" ht="22.5" customHeight="1">
      <c r="A8" s="2" t="s">
        <v>15</v>
      </c>
      <c r="B8" s="7" t="s">
        <v>16</v>
      </c>
      <c r="C8" s="2">
        <v>8.0</v>
      </c>
      <c r="D8" s="4">
        <v>2.0</v>
      </c>
      <c r="E8" s="5">
        <f t="shared" si="1"/>
        <v>16</v>
      </c>
      <c r="F8" s="6" t="str">
        <f t="shared" si="2"/>
        <v>High</v>
      </c>
    </row>
    <row r="9" ht="22.5" customHeight="1">
      <c r="A9" s="2" t="s">
        <v>17</v>
      </c>
      <c r="B9" s="3" t="s">
        <v>16</v>
      </c>
      <c r="C9" s="2">
        <v>12.0</v>
      </c>
      <c r="D9" s="4">
        <v>1.0</v>
      </c>
      <c r="E9" s="5">
        <f t="shared" si="1"/>
        <v>12</v>
      </c>
      <c r="F9" s="6" t="str">
        <f t="shared" si="2"/>
        <v>Low</v>
      </c>
    </row>
    <row r="11">
      <c r="A11" s="8" t="s">
        <v>1</v>
      </c>
      <c r="B11" s="8" t="s">
        <v>18</v>
      </c>
      <c r="C11" s="9"/>
      <c r="D11" s="10" t="s">
        <v>19</v>
      </c>
      <c r="E11" s="9"/>
      <c r="F11" s="9"/>
      <c r="G11" s="9"/>
      <c r="H11" s="9"/>
      <c r="I11" s="9"/>
    </row>
    <row r="12">
      <c r="A12" s="8" t="s">
        <v>20</v>
      </c>
      <c r="B12" s="11">
        <f>SUMIF(Table1[Category],"Fruit",Table1[Total])</f>
        <v>38</v>
      </c>
      <c r="C12" s="9"/>
      <c r="D12" s="10" t="s">
        <v>21</v>
      </c>
      <c r="E12" s="9"/>
      <c r="F12" s="9"/>
      <c r="G12" s="9"/>
      <c r="H12" s="9"/>
      <c r="I12" s="9"/>
    </row>
    <row r="13">
      <c r="A13" s="8" t="s">
        <v>22</v>
      </c>
      <c r="B13" s="11">
        <f>SUMIF(B2:B9,"Vegetable",E2:E9)</f>
        <v>28</v>
      </c>
      <c r="C13" s="9"/>
      <c r="D13" s="10" t="s">
        <v>23</v>
      </c>
      <c r="E13" s="9"/>
      <c r="F13" s="9"/>
      <c r="G13" s="9"/>
      <c r="H13" s="9"/>
      <c r="I13" s="9"/>
    </row>
    <row r="14">
      <c r="A14" s="8" t="s">
        <v>24</v>
      </c>
      <c r="B14" s="11">
        <f>SUMIF(B2:B11,"Dairy",E2:E11)</f>
        <v>38</v>
      </c>
      <c r="C14" s="9"/>
      <c r="D14" s="10" t="s">
        <v>25</v>
      </c>
      <c r="E14" s="9"/>
      <c r="F14" s="9"/>
      <c r="G14" s="9"/>
      <c r="H14" s="9"/>
      <c r="I14" s="9"/>
    </row>
    <row r="15">
      <c r="A15" s="8" t="s">
        <v>26</v>
      </c>
      <c r="B15" s="11">
        <f>SUMIF(Table1[Category],"Bakery",Table1[Total])</f>
        <v>39</v>
      </c>
      <c r="C15" s="9"/>
      <c r="D15" s="9"/>
      <c r="E15" s="10" t="s">
        <v>27</v>
      </c>
      <c r="F15" s="9"/>
      <c r="G15" s="9"/>
      <c r="H15" s="9"/>
      <c r="I15" s="9"/>
    </row>
    <row r="16">
      <c r="A16" s="9"/>
      <c r="B16" s="9"/>
      <c r="C16" s="9"/>
      <c r="D16" s="9"/>
      <c r="E16" s="10" t="s">
        <v>28</v>
      </c>
      <c r="F16" s="9"/>
      <c r="G16" s="9"/>
      <c r="H16" s="9"/>
      <c r="I16" s="9"/>
    </row>
    <row r="17">
      <c r="A17" s="9"/>
      <c r="B17" s="9"/>
      <c r="C17" s="9"/>
      <c r="D17" s="9"/>
      <c r="E17" s="10" t="s">
        <v>29</v>
      </c>
      <c r="F17" s="9"/>
      <c r="G17" s="9"/>
      <c r="H17" s="9"/>
      <c r="I17" s="9"/>
    </row>
    <row r="18">
      <c r="A18" s="9"/>
      <c r="B18" s="9"/>
      <c r="C18" s="9"/>
      <c r="D18" s="10" t="s">
        <v>30</v>
      </c>
      <c r="E18" s="9"/>
      <c r="F18" s="9"/>
      <c r="G18" s="9"/>
      <c r="H18" s="9"/>
      <c r="I18" s="9"/>
    </row>
    <row r="19">
      <c r="A19" s="9"/>
      <c r="B19" s="9"/>
      <c r="C19" s="9"/>
      <c r="D19" s="9"/>
      <c r="E19" s="10" t="s">
        <v>31</v>
      </c>
      <c r="F19" s="9"/>
      <c r="G19" s="9"/>
      <c r="H19" s="9"/>
      <c r="I19" s="9"/>
    </row>
    <row r="20">
      <c r="A20" s="9"/>
      <c r="B20" s="9"/>
      <c r="C20" s="9"/>
      <c r="D20" s="9"/>
      <c r="E20" s="10" t="s">
        <v>32</v>
      </c>
      <c r="F20" s="9"/>
      <c r="G20" s="9"/>
      <c r="H20" s="9"/>
      <c r="I20" s="9"/>
    </row>
    <row r="21">
      <c r="A21" s="9"/>
      <c r="B21" s="9"/>
      <c r="C21" s="9"/>
      <c r="D21" s="10" t="s">
        <v>33</v>
      </c>
      <c r="E21" s="9"/>
      <c r="F21" s="9"/>
      <c r="G21" s="9"/>
      <c r="H21" s="9"/>
      <c r="I21" s="9"/>
    </row>
    <row r="22">
      <c r="A22" s="9"/>
      <c r="B22" s="9"/>
      <c r="C22" s="9"/>
      <c r="D22" s="10" t="s">
        <v>34</v>
      </c>
      <c r="E22" s="9"/>
      <c r="F22" s="9"/>
      <c r="G22" s="9"/>
      <c r="H22" s="9"/>
      <c r="I22" s="9"/>
    </row>
    <row r="23">
      <c r="A23" s="9"/>
      <c r="B23" s="9"/>
      <c r="C23" s="9"/>
      <c r="D23" s="9"/>
      <c r="E23" s="10" t="s">
        <v>35</v>
      </c>
      <c r="F23" s="9"/>
      <c r="G23" s="9"/>
      <c r="H23" s="9"/>
      <c r="I23" s="9"/>
    </row>
    <row r="24">
      <c r="A24" s="9"/>
      <c r="B24" s="9"/>
      <c r="C24" s="9"/>
      <c r="D24" s="9"/>
      <c r="E24" s="10" t="s">
        <v>36</v>
      </c>
      <c r="F24" s="9"/>
      <c r="G24" s="9"/>
      <c r="H24" s="9"/>
      <c r="I24" s="9"/>
    </row>
    <row r="25">
      <c r="A25" s="9"/>
      <c r="B25" s="9"/>
      <c r="C25" s="9"/>
      <c r="D25" s="9"/>
      <c r="E25" s="10" t="s">
        <v>37</v>
      </c>
      <c r="F25" s="9"/>
      <c r="G25" s="9"/>
      <c r="H25" s="9"/>
      <c r="I25" s="9"/>
    </row>
    <row r="26">
      <c r="A26" s="9"/>
      <c r="B26" s="9"/>
      <c r="C26" s="9"/>
      <c r="D26" s="9"/>
      <c r="E26" s="10" t="s">
        <v>38</v>
      </c>
      <c r="F26" s="9"/>
      <c r="G26" s="9"/>
      <c r="H26" s="9"/>
      <c r="I26" s="9"/>
    </row>
  </sheetData>
  <dataValidations>
    <dataValidation type="custom" allowBlank="1" showDropDown="1" sqref="D2:D9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